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rufliste" sheetId="1" state="visible" r:id="rId1"/>
    <sheet name="Kundenobjekte" sheetId="2" state="visible" r:id="rId2"/>
    <sheet name="Legende &amp; Quellen" sheetId="3" state="visible" r:id="rId3"/>
  </sheets>
  <definedNames>
    <definedName name="_xlnm._FilterDatabase" localSheetId="0" hidden="1">'Anrufliste'!$A$7:$N$22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563C1"/>
      <sz val="10"/>
    </font>
    <font>
      <name val="Arial"/>
      <b val="1"/>
      <color rgb="001F3864"/>
      <sz val="12"/>
    </font>
    <font>
      <name val="Arial"/>
      <b val="1"/>
      <color rgb="001F3864"/>
      <sz val="13"/>
    </font>
    <font>
      <name val="Arial"/>
      <b val="1"/>
      <color rgb="001F3864"/>
      <sz val="10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applyAlignment="1" pivotButton="0" quotePrefix="0" xfId="0">
      <alignment horizontal="left"/>
    </xf>
    <xf numFmtId="3" fontId="7" fillId="0" borderId="0" applyAlignment="1" pivotButton="0" quotePrefix="0" xfId="0">
      <alignment horizontal="left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/>
    </xf>
    <xf numFmtId="164" fontId="4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8" fillId="0" borderId="0" pivotButton="0" quotePrefix="0" xfId="0"/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5" fillId="0" borderId="0" pivotButton="0" quotePrefix="0" xfId="0"/>
    <xf numFmtId="3" fontId="9" fillId="0" borderId="0" pivotButton="0" quotePrefix="0" xfId="0"/>
    <xf numFmtId="0" fontId="9" fillId="0" borderId="0" pivotButton="0" quotePrefix="0" xfId="0"/>
    <xf numFmtId="0" fontId="4" fillId="0" borderId="0" pivotButton="0" quotePrefix="0" xfId="0"/>
    <xf numFmtId="0" fontId="10" fillId="3" borderId="1" applyAlignment="1" pivotButton="0" quotePrefix="0" xfId="0">
      <alignment vertical="top" wrapText="1"/>
    </xf>
    <xf numFmtId="3" fontId="1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penstreetmap.org/way/114189151" TargetMode="External" Id="rId1" /><Relationship Type="http://schemas.openxmlformats.org/officeDocument/2006/relationships/hyperlink" Target="https://www.openstreetmap.org/way/152389194" TargetMode="External" Id="rId2" /><Relationship Type="http://schemas.openxmlformats.org/officeDocument/2006/relationships/hyperlink" Target="https://www.openstreetmap.org/way/93667257" TargetMode="External" Id="rId3" /><Relationship Type="http://schemas.openxmlformats.org/officeDocument/2006/relationships/hyperlink" Target="https://www.openstreetmap.org/way/152389197" TargetMode="External" Id="rId4" /><Relationship Type="http://schemas.openxmlformats.org/officeDocument/2006/relationships/hyperlink" Target="https://www.openstreetmap.org/way/152389199" TargetMode="External" Id="rId5" /><Relationship Type="http://schemas.openxmlformats.org/officeDocument/2006/relationships/hyperlink" Target="https://www.openstreetmap.org/way/302739883" TargetMode="External" Id="rId6" /><Relationship Type="http://schemas.openxmlformats.org/officeDocument/2006/relationships/hyperlink" Target="https://www.openstreetmap.org/way/0" TargetMode="External" Id="rId7" /><Relationship Type="http://schemas.openxmlformats.org/officeDocument/2006/relationships/hyperlink" Target="https://www.openstreetmap.org/way/26706358" TargetMode="External" Id="rId8" /><Relationship Type="http://schemas.openxmlformats.org/officeDocument/2006/relationships/hyperlink" Target="https://www.openstreetmap.org/way/1318816907" TargetMode="External" Id="rId9" /><Relationship Type="http://schemas.openxmlformats.org/officeDocument/2006/relationships/hyperlink" Target="https://www.openstreetmap.org/way/72553553" TargetMode="External" Id="rId10" /><Relationship Type="http://schemas.openxmlformats.org/officeDocument/2006/relationships/hyperlink" Target="https://www.openstreetmap.org/way/432095967" TargetMode="External" Id="rId11" /><Relationship Type="http://schemas.openxmlformats.org/officeDocument/2006/relationships/hyperlink" Target="https://www.openstreetmap.org/way/26705496" TargetMode="External" Id="rId12" /><Relationship Type="http://schemas.openxmlformats.org/officeDocument/2006/relationships/hyperlink" Target="https://www.openstreetmap.org/way/26705515" TargetMode="External" Id="rId13" /><Relationship Type="http://schemas.openxmlformats.org/officeDocument/2006/relationships/hyperlink" Target="https://www.openstreetmap.org/way/25064267" TargetMode="External" Id="rId14" /><Relationship Type="http://schemas.openxmlformats.org/officeDocument/2006/relationships/hyperlink" Target="https://www.openstreetmap.org/way/1233921641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34" customWidth="1" min="4" max="4"/>
    <col width="38" customWidth="1" min="5" max="5"/>
    <col width="12" customWidth="1" min="6" max="6"/>
    <col width="32" customWidth="1" min="7" max="7"/>
    <col width="11" customWidth="1" min="8" max="8"/>
    <col width="11" customWidth="1" min="9" max="9"/>
    <col width="26" customWidth="1" min="10" max="10"/>
    <col width="20" customWidth="1" min="11" max="11"/>
    <col width="32" customWidth="1" min="12" max="12"/>
    <col width="36" customWidth="1" min="13" max="13"/>
    <col width="8" customWidth="1" min="14" max="14"/>
  </cols>
  <sheetData>
    <row r="1">
      <c r="A1" s="1" t="inlineStr">
        <is>
          <t>Anrufliste – Logistikhallen Mülheim an der Ruhr / Dümpten</t>
        </is>
      </c>
    </row>
    <row r="2">
      <c r="A2" s="2" t="inlineStr">
        <is>
          <t>Suchprofil: 5.500–7.650 m², teilbar ab ca. 2.500 m², Rampe/Docks, Umkreis Dümpten (45475/45476) · Filter OSM-Grundfläche 4.400–9.200 m², ≤3,5 km · Stand 28.07.2026</t>
        </is>
      </c>
    </row>
    <row r="4">
      <c r="A4" s="2" t="inlineStr">
        <is>
          <t>Kandidaten</t>
        </is>
      </c>
      <c r="B4" s="3">
        <f>COUNTA($A$8:$A$22)</f>
        <v/>
      </c>
      <c r="C4" s="2" t="inlineStr">
        <is>
          <t>mit akt. Angebot</t>
        </is>
      </c>
      <c r="D4" s="3">
        <f>SUMPRODUCT(--(LEFT($A$8:$A$22,1)="A"))</f>
        <v/>
      </c>
      <c r="E4" s="2" t="inlineStr">
        <is>
          <t>offen</t>
        </is>
      </c>
      <c r="F4" s="3">
        <f>COUNTIF($B$8:$B$22,"offen")</f>
        <v/>
      </c>
      <c r="G4" s="2" t="inlineStr">
        <is>
          <t>erledigt</t>
        </is>
      </c>
      <c r="H4" s="3">
        <f>COUNTIF($B$8:$B$22,"erledigt")</f>
        <v/>
      </c>
      <c r="I4" s="2" t="inlineStr">
        <is>
          <t>Fläche ges. m²</t>
        </is>
      </c>
      <c r="J4" s="4">
        <f>SUM($F$8:$F$22)</f>
        <v/>
      </c>
    </row>
    <row r="7" ht="30" customHeight="1">
      <c r="A7" s="5" t="inlineStr">
        <is>
          <t>Prio</t>
        </is>
      </c>
      <c r="B7" s="5" t="inlineStr">
        <is>
          <t>Status</t>
        </is>
      </c>
      <c r="C7" s="5" t="inlineStr">
        <is>
          <t>Wiedervorlage</t>
        </is>
      </c>
      <c r="D7" s="5" t="inlineStr">
        <is>
          <t>Objekt / Betreiber</t>
        </is>
      </c>
      <c r="E7" s="5" t="inlineStr">
        <is>
          <t>Adresse</t>
        </is>
      </c>
      <c r="F7" s="5" t="inlineStr">
        <is>
          <t>OSM-Fläche m²</t>
        </is>
      </c>
      <c r="G7" s="5" t="inlineStr">
        <is>
          <t>Verfügbarkeit (Stand Recherche)</t>
        </is>
      </c>
      <c r="H7" s="5" t="inlineStr">
        <is>
          <t>km zu Dümpten</t>
        </is>
      </c>
      <c r="I7" s="5" t="inlineStr">
        <is>
          <t>OSM-Typ</t>
        </is>
      </c>
      <c r="J7" s="5" t="inlineStr">
        <is>
          <t>Ansprechpartner</t>
        </is>
      </c>
      <c r="K7" s="5" t="inlineStr">
        <is>
          <t>Telefon</t>
        </is>
      </c>
      <c r="L7" s="5" t="inlineStr">
        <is>
          <t>E-Mail</t>
        </is>
      </c>
      <c r="M7" s="5" t="inlineStr">
        <is>
          <t>Ergebnis / Notiz</t>
        </is>
      </c>
      <c r="N7" s="5" t="inlineStr">
        <is>
          <t>Karte</t>
        </is>
      </c>
    </row>
    <row r="8">
      <c r="A8" s="6" t="inlineStr">
        <is>
          <t>A1</t>
        </is>
      </c>
      <c r="B8" s="7" t="inlineStr">
        <is>
          <t>offen</t>
        </is>
      </c>
      <c r="C8" s="6" t="inlineStr"/>
      <c r="D8" s="8" t="inlineStr">
        <is>
          <t>FlexCity / Geneba Industriepark – Bau 25</t>
        </is>
      </c>
      <c r="E8" s="8" t="inlineStr">
        <is>
          <t>Kranbahnallee 3, 45473 Mülheim</t>
        </is>
      </c>
      <c r="F8" s="9" t="n">
        <v>8841</v>
      </c>
      <c r="G8" s="8" t="inlineStr">
        <is>
          <t>≈7.000 m² Halle + 700 m² Büro frei (Park gesamt)</t>
        </is>
      </c>
      <c r="H8" s="10" t="n">
        <v>2.6</v>
      </c>
      <c r="I8" s="6" t="inlineStr">
        <is>
          <t>yes</t>
        </is>
      </c>
      <c r="J8" s="6" t="inlineStr">
        <is>
          <t>Wilhelm Heusch (Frasers Property)</t>
        </is>
      </c>
      <c r="K8" s="6" t="inlineStr">
        <is>
          <t>+49 151 544 104 03</t>
        </is>
      </c>
      <c r="L8" s="6" t="inlineStr">
        <is>
          <t>wilhelm.heusch@frasersproperty.com</t>
        </is>
      </c>
      <c r="M8" s="8" t="inlineStr"/>
      <c r="N8" s="11" t="inlineStr">
        <is>
          <t>Karte</t>
        </is>
      </c>
    </row>
    <row r="9">
      <c r="A9" s="6" t="inlineStr">
        <is>
          <t>A1</t>
        </is>
      </c>
      <c r="B9" s="7" t="inlineStr">
        <is>
          <t>offen</t>
        </is>
      </c>
      <c r="C9" s="6" t="inlineStr"/>
      <c r="D9" s="8" t="inlineStr">
        <is>
          <t>FlexCity / Geneba Industriepark – Bau 25</t>
        </is>
      </c>
      <c r="E9" s="8" t="inlineStr">
        <is>
          <t>Kranbahnallee 1, 45473 Mülheim</t>
        </is>
      </c>
      <c r="F9" s="9" t="n">
        <v>6982</v>
      </c>
      <c r="G9" s="8" t="inlineStr">
        <is>
          <t>s. o. – gleicher Park</t>
        </is>
      </c>
      <c r="H9" s="10" t="n">
        <v>2.7</v>
      </c>
      <c r="I9" s="6" t="inlineStr">
        <is>
          <t>yes</t>
        </is>
      </c>
      <c r="J9" s="6" t="inlineStr">
        <is>
          <t>Wilhelm Heusch (Frasers Property)</t>
        </is>
      </c>
      <c r="K9" s="6" t="inlineStr">
        <is>
          <t>+49 151 544 104 03</t>
        </is>
      </c>
      <c r="L9" s="6" t="inlineStr">
        <is>
          <t>wilhelm.heusch@frasersproperty.com</t>
        </is>
      </c>
      <c r="M9" s="8" t="inlineStr"/>
      <c r="N9" s="11" t="inlineStr">
        <is>
          <t>Karte</t>
        </is>
      </c>
    </row>
    <row r="10">
      <c r="A10" s="6" t="inlineStr">
        <is>
          <t>A1</t>
        </is>
      </c>
      <c r="B10" s="7" t="inlineStr">
        <is>
          <t>offen</t>
        </is>
      </c>
      <c r="C10" s="6" t="inlineStr"/>
      <c r="D10" s="8" t="inlineStr">
        <is>
          <t>FLEXCITY Industriepark – Bau 26</t>
        </is>
      </c>
      <c r="E10" s="8" t="inlineStr">
        <is>
          <t>Mellinghofer Straße 55, 45473 Mülheim</t>
        </is>
      </c>
      <c r="F10" s="9" t="n">
        <v>5818</v>
      </c>
      <c r="G10" s="8" t="inlineStr">
        <is>
          <t>s. o. – gleicher Park</t>
        </is>
      </c>
      <c r="H10" s="10" t="n">
        <v>2.4</v>
      </c>
      <c r="I10" s="6" t="inlineStr">
        <is>
          <t>yes</t>
        </is>
      </c>
      <c r="J10" s="6" t="inlineStr">
        <is>
          <t>Wilhelm Heusch (Frasers Property)</t>
        </is>
      </c>
      <c r="K10" s="6" t="inlineStr">
        <is>
          <t>+49 151 544 104 03</t>
        </is>
      </c>
      <c r="L10" s="6" t="inlineStr">
        <is>
          <t>wilhelm.heusch@frasersproperty.com</t>
        </is>
      </c>
      <c r="M10" s="8" t="inlineStr"/>
      <c r="N10" s="11" t="inlineStr">
        <is>
          <t>Karte</t>
        </is>
      </c>
    </row>
    <row r="11">
      <c r="A11" s="6" t="inlineStr">
        <is>
          <t>A1</t>
        </is>
      </c>
      <c r="B11" s="7" t="inlineStr">
        <is>
          <t>offen</t>
        </is>
      </c>
      <c r="C11" s="6" t="inlineStr"/>
      <c r="D11" s="8" t="inlineStr">
        <is>
          <t>Geneba Industriepark – Bau 2</t>
        </is>
      </c>
      <c r="E11" s="8" t="inlineStr">
        <is>
          <t>Wiesenstraße 54, 45473 Mülheim</t>
        </is>
      </c>
      <c r="F11" s="9" t="n">
        <v>5451</v>
      </c>
      <c r="G11" s="8" t="inlineStr">
        <is>
          <t>s. o. – gleicher Park</t>
        </is>
      </c>
      <c r="H11" s="10" t="n">
        <v>2.5</v>
      </c>
      <c r="I11" s="6" t="inlineStr">
        <is>
          <t>yes</t>
        </is>
      </c>
      <c r="J11" s="6" t="inlineStr">
        <is>
          <t>Wilhelm Heusch (Frasers Property)</t>
        </is>
      </c>
      <c r="K11" s="6" t="inlineStr">
        <is>
          <t>+49 151 544 104 03</t>
        </is>
      </c>
      <c r="L11" s="6" t="inlineStr">
        <is>
          <t>wilhelm.heusch@frasersproperty.com</t>
        </is>
      </c>
      <c r="M11" s="8" t="inlineStr"/>
      <c r="N11" s="11" t="inlineStr">
        <is>
          <t>Karte</t>
        </is>
      </c>
    </row>
    <row r="12">
      <c r="A12" s="6" t="inlineStr">
        <is>
          <t>A1</t>
        </is>
      </c>
      <c r="B12" s="7" t="inlineStr">
        <is>
          <t>offen</t>
        </is>
      </c>
      <c r="C12" s="6" t="inlineStr"/>
      <c r="D12" s="8" t="inlineStr">
        <is>
          <t>Geneba Industriepark – Bau 3</t>
        </is>
      </c>
      <c r="E12" s="8" t="inlineStr">
        <is>
          <t>Kranbahnallee, 45473 Mülheim</t>
        </is>
      </c>
      <c r="F12" s="9" t="n">
        <v>4609</v>
      </c>
      <c r="G12" s="8" t="inlineStr">
        <is>
          <t>s. o. – gleicher Park</t>
        </is>
      </c>
      <c r="H12" s="10" t="n">
        <v>2.4</v>
      </c>
      <c r="I12" s="6" t="inlineStr">
        <is>
          <t>yes</t>
        </is>
      </c>
      <c r="J12" s="6" t="inlineStr">
        <is>
          <t>Wilhelm Heusch (Frasers Property)</t>
        </is>
      </c>
      <c r="K12" s="6" t="inlineStr">
        <is>
          <t>+49 151 544 104 03</t>
        </is>
      </c>
      <c r="L12" s="6" t="inlineStr">
        <is>
          <t>wilhelm.heusch@frasersproperty.com</t>
        </is>
      </c>
      <c r="M12" s="8" t="inlineStr"/>
      <c r="N12" s="11" t="inlineStr">
        <is>
          <t>Karte</t>
        </is>
      </c>
    </row>
    <row r="13">
      <c r="A13" s="6" t="inlineStr">
        <is>
          <t>A2</t>
        </is>
      </c>
      <c r="B13" s="7" t="inlineStr">
        <is>
          <t>offen</t>
        </is>
      </c>
      <c r="C13" s="6" t="inlineStr"/>
      <c r="D13" s="8" t="inlineStr">
        <is>
          <t>Goodman Mülheim Logistics Centre</t>
        </is>
      </c>
      <c r="E13" s="8" t="inlineStr">
        <is>
          <t>Pilgerstraße 3, 45473 Mülheim</t>
        </is>
      </c>
      <c r="F13" s="9" t="n">
        <v>6072</v>
      </c>
      <c r="G13" s="8" t="inlineStr">
        <is>
          <t>Unit 2 = 5.863 m² verfügbar</t>
        </is>
      </c>
      <c r="H13" s="10" t="n">
        <v>1.9</v>
      </c>
      <c r="I13" s="6" t="inlineStr">
        <is>
          <t>warehouse</t>
        </is>
      </c>
      <c r="J13" s="6" t="inlineStr">
        <is>
          <t>Goodman Germany – Vermietung</t>
        </is>
      </c>
      <c r="K13" s="6" t="inlineStr">
        <is>
          <t>über de.goodman.com abgreifen</t>
        </is>
      </c>
      <c r="L13" s="6" t="inlineStr"/>
      <c r="M13" s="8" t="inlineStr"/>
      <c r="N13" s="11" t="inlineStr">
        <is>
          <t>Karte</t>
        </is>
      </c>
    </row>
    <row r="14">
      <c r="A14" s="6" t="inlineStr">
        <is>
          <t>A2</t>
        </is>
      </c>
      <c r="B14" s="7" t="inlineStr">
        <is>
          <t>offen</t>
        </is>
      </c>
      <c r="C14" s="6" t="inlineStr"/>
      <c r="D14" s="8" t="inlineStr">
        <is>
          <t>Goodman Mülheim Logistics Centre (Zusatzgebäude)</t>
        </is>
      </c>
      <c r="E14" s="8" t="inlineStr">
        <is>
          <t>Pilgerstraße 29, 45473 Mülheim</t>
        </is>
      </c>
      <c r="F14" s="9" t="n">
        <v>10152</v>
      </c>
      <c r="G14" s="8" t="inlineStr">
        <is>
          <t>selber Park – außerhalb Größenfilter</t>
        </is>
      </c>
      <c r="H14" s="10" t="n">
        <v>2</v>
      </c>
      <c r="I14" s="6" t="inlineStr">
        <is>
          <t>warehouse</t>
        </is>
      </c>
      <c r="J14" s="6" t="inlineStr">
        <is>
          <t>Goodman Germany – Vermietung</t>
        </is>
      </c>
      <c r="K14" s="6" t="inlineStr">
        <is>
          <t>über de.goodman.com abgreifen</t>
        </is>
      </c>
      <c r="L14" s="6" t="inlineStr"/>
      <c r="M14" s="8" t="inlineStr"/>
      <c r="N14" s="11" t="inlineStr">
        <is>
          <t>Karte</t>
        </is>
      </c>
    </row>
    <row r="15">
      <c r="A15" s="12" t="inlineStr">
        <is>
          <t>B</t>
        </is>
      </c>
      <c r="B15" s="13" t="inlineStr">
        <is>
          <t>offen</t>
        </is>
      </c>
      <c r="C15" s="12" t="inlineStr"/>
      <c r="D15" s="14" t="inlineStr">
        <is>
          <t>vermutl. Trilux Retail (vorm. Ansorg)</t>
        </is>
      </c>
      <c r="E15" s="14" t="inlineStr">
        <is>
          <t>Pilgerstraße 11, 45473 Mülheim</t>
        </is>
      </c>
      <c r="F15" s="15" t="n">
        <v>8659</v>
      </c>
      <c r="G15" s="14" t="inlineStr">
        <is>
          <t>eigengenutzt – Eigentümeransprache</t>
        </is>
      </c>
      <c r="H15" s="16" t="n">
        <v>2</v>
      </c>
      <c r="I15" s="12" t="inlineStr">
        <is>
          <t>industrial</t>
        </is>
      </c>
      <c r="J15" s="12" t="inlineStr">
        <is>
          <t>Trilux Retail / Ansorg – Zentrale</t>
        </is>
      </c>
      <c r="K15" s="12" t="inlineStr"/>
      <c r="L15" s="12" t="inlineStr"/>
      <c r="M15" s="14" t="inlineStr"/>
      <c r="N15" s="17" t="inlineStr">
        <is>
          <t>Karte</t>
        </is>
      </c>
    </row>
    <row r="16">
      <c r="A16" s="18" t="inlineStr">
        <is>
          <t>C</t>
        </is>
      </c>
      <c r="B16" s="19" t="inlineStr">
        <is>
          <t>offen</t>
        </is>
      </c>
      <c r="C16" s="18" t="inlineStr"/>
      <c r="D16" s="20" t="inlineStr">
        <is>
          <t>unbenannt</t>
        </is>
      </c>
      <c r="E16" s="20" t="inlineStr">
        <is>
          <t>Styrumer Schlossweg, 45476 Styrum</t>
        </is>
      </c>
      <c r="F16" s="21" t="n">
        <v>7230</v>
      </c>
      <c r="G16" s="20" t="inlineStr">
        <is>
          <t>unbekannt</t>
        </is>
      </c>
      <c r="H16" s="22" t="n">
        <v>3.1</v>
      </c>
      <c r="I16" s="18" t="inlineStr">
        <is>
          <t>yes</t>
        </is>
      </c>
      <c r="J16" s="18" t="inlineStr"/>
      <c r="K16" s="18" t="inlineStr"/>
      <c r="L16" s="18" t="inlineStr"/>
      <c r="M16" s="20" t="inlineStr"/>
      <c r="N16" s="23" t="inlineStr">
        <is>
          <t>Karte</t>
        </is>
      </c>
    </row>
    <row r="17">
      <c r="A17" s="18" t="inlineStr">
        <is>
          <t>C</t>
        </is>
      </c>
      <c r="B17" s="19" t="inlineStr">
        <is>
          <t>offen</t>
        </is>
      </c>
      <c r="C17" s="18" t="inlineStr"/>
      <c r="D17" s="20" t="inlineStr">
        <is>
          <t>unbenannt</t>
        </is>
      </c>
      <c r="E17" s="20" t="inlineStr">
        <is>
          <t>Aktienstraße 23, 45473 Eppinghofen</t>
        </is>
      </c>
      <c r="F17" s="21" t="n">
        <v>7110</v>
      </c>
      <c r="G17" s="20" t="inlineStr">
        <is>
          <t>unbekannt</t>
        </is>
      </c>
      <c r="H17" s="22" t="n">
        <v>3.2</v>
      </c>
      <c r="I17" s="18" t="inlineStr">
        <is>
          <t>industrial</t>
        </is>
      </c>
      <c r="J17" s="18" t="inlineStr"/>
      <c r="K17" s="18" t="inlineStr"/>
      <c r="L17" s="18" t="inlineStr"/>
      <c r="M17" s="20" t="inlineStr"/>
      <c r="N17" s="23" t="inlineStr">
        <is>
          <t>Karte</t>
        </is>
      </c>
    </row>
    <row r="18">
      <c r="A18" s="18" t="inlineStr">
        <is>
          <t>C</t>
        </is>
      </c>
      <c r="B18" s="19" t="inlineStr">
        <is>
          <t>offen</t>
        </is>
      </c>
      <c r="C18" s="18" t="inlineStr"/>
      <c r="D18" s="20" t="inlineStr">
        <is>
          <t>unbenannt</t>
        </is>
      </c>
      <c r="E18" s="20" t="inlineStr">
        <is>
          <t>Burgstraße, 45476 Styrum</t>
        </is>
      </c>
      <c r="F18" s="21" t="n">
        <v>7023</v>
      </c>
      <c r="G18" s="20" t="inlineStr">
        <is>
          <t>unbekannt</t>
        </is>
      </c>
      <c r="H18" s="22" t="n">
        <v>3.2</v>
      </c>
      <c r="I18" s="18" t="inlineStr">
        <is>
          <t>yes</t>
        </is>
      </c>
      <c r="J18" s="18" t="inlineStr"/>
      <c r="K18" s="18" t="inlineStr"/>
      <c r="L18" s="18" t="inlineStr"/>
      <c r="M18" s="20" t="inlineStr"/>
      <c r="N18" s="23" t="inlineStr">
        <is>
          <t>Karte</t>
        </is>
      </c>
    </row>
    <row r="19">
      <c r="A19" s="18" t="inlineStr">
        <is>
          <t>C</t>
        </is>
      </c>
      <c r="B19" s="19" t="inlineStr">
        <is>
          <t>offen</t>
        </is>
      </c>
      <c r="C19" s="18" t="inlineStr"/>
      <c r="D19" s="20" t="inlineStr">
        <is>
          <t>unbenannt</t>
        </is>
      </c>
      <c r="E19" s="20" t="inlineStr">
        <is>
          <t>Geitlingstraße 82, 45472 Mülheim</t>
        </is>
      </c>
      <c r="F19" s="21" t="n">
        <v>6094</v>
      </c>
      <c r="G19" s="20" t="inlineStr">
        <is>
          <t>unbekannt</t>
        </is>
      </c>
      <c r="H19" s="22" t="n">
        <v>3.3</v>
      </c>
      <c r="I19" s="18" t="inlineStr">
        <is>
          <t>yes</t>
        </is>
      </c>
      <c r="J19" s="18" t="inlineStr"/>
      <c r="K19" s="18" t="inlineStr"/>
      <c r="L19" s="18" t="inlineStr"/>
      <c r="M19" s="20" t="inlineStr"/>
      <c r="N19" s="23" t="inlineStr">
        <is>
          <t>Karte</t>
        </is>
      </c>
    </row>
    <row r="20">
      <c r="A20" s="18" t="inlineStr">
        <is>
          <t>C</t>
        </is>
      </c>
      <c r="B20" s="19" t="inlineStr">
        <is>
          <t>offen</t>
        </is>
      </c>
      <c r="C20" s="18" t="inlineStr"/>
      <c r="D20" s="20" t="inlineStr">
        <is>
          <t>unbenannt</t>
        </is>
      </c>
      <c r="E20" s="20" t="inlineStr">
        <is>
          <t>Freiherr-vom-Stein-Straße 165, 45473 Mülheim</t>
        </is>
      </c>
      <c r="F20" s="21" t="n">
        <v>5959</v>
      </c>
      <c r="G20" s="20" t="inlineStr">
        <is>
          <t>unbekannt</t>
        </is>
      </c>
      <c r="H20" s="22" t="n">
        <v>3.1</v>
      </c>
      <c r="I20" s="18" t="inlineStr">
        <is>
          <t>industrial</t>
        </is>
      </c>
      <c r="J20" s="18" t="inlineStr"/>
      <c r="K20" s="18" t="inlineStr"/>
      <c r="L20" s="18" t="inlineStr"/>
      <c r="M20" s="20" t="inlineStr"/>
      <c r="N20" s="23" t="inlineStr">
        <is>
          <t>Karte</t>
        </is>
      </c>
    </row>
    <row r="21">
      <c r="A21" s="18" t="inlineStr">
        <is>
          <t>C</t>
        </is>
      </c>
      <c r="B21" s="19" t="inlineStr">
        <is>
          <t>offen</t>
        </is>
      </c>
      <c r="C21" s="18" t="inlineStr"/>
      <c r="D21" s="20" t="inlineStr">
        <is>
          <t>unbenannt – evtl. Kundenobjekt 2 selbst!</t>
        </is>
      </c>
      <c r="E21" s="20" t="inlineStr">
        <is>
          <t>Burgstraße 2, 45476 Mülheim</t>
        </is>
      </c>
      <c r="F21" s="21" t="n">
        <v>5711</v>
      </c>
      <c r="G21" s="20" t="inlineStr">
        <is>
          <t>prüfen: Daten nahe Objekt 2 (5.500 m², 45476)</t>
        </is>
      </c>
      <c r="H21" s="22" t="n">
        <v>3</v>
      </c>
      <c r="I21" s="18" t="inlineStr">
        <is>
          <t>yes</t>
        </is>
      </c>
      <c r="J21" s="18" t="inlineStr"/>
      <c r="K21" s="18" t="inlineStr"/>
      <c r="L21" s="18" t="inlineStr"/>
      <c r="M21" s="20" t="inlineStr"/>
      <c r="N21" s="23" t="inlineStr">
        <is>
          <t>Karte</t>
        </is>
      </c>
    </row>
    <row r="22">
      <c r="A22" s="18" t="inlineStr">
        <is>
          <t>C</t>
        </is>
      </c>
      <c r="B22" s="19" t="inlineStr">
        <is>
          <t>offen</t>
        </is>
      </c>
      <c r="C22" s="18" t="inlineStr"/>
      <c r="D22" s="20" t="inlineStr">
        <is>
          <t>unbenannt</t>
        </is>
      </c>
      <c r="E22" s="20" t="inlineStr">
        <is>
          <t>Mellinghofer Straße, 45473 Mellinghofen</t>
        </is>
      </c>
      <c r="F22" s="21" t="n">
        <v>5247</v>
      </c>
      <c r="G22" s="20" t="inlineStr">
        <is>
          <t>unbekannt</t>
        </is>
      </c>
      <c r="H22" s="22" t="n">
        <v>2.2</v>
      </c>
      <c r="I22" s="18" t="inlineStr">
        <is>
          <t>industrial</t>
        </is>
      </c>
      <c r="J22" s="18" t="inlineStr"/>
      <c r="K22" s="18" t="inlineStr"/>
      <c r="L22" s="18" t="inlineStr"/>
      <c r="M22" s="20" t="inlineStr"/>
      <c r="N22" s="23" t="inlineStr">
        <is>
          <t>Karte</t>
        </is>
      </c>
    </row>
  </sheetData>
  <autoFilter ref="A7:N22"/>
  <dataValidations count="1">
    <dataValidation sqref="B8:B22" showDropDown="0" showInputMessage="0" showErrorMessage="0" allowBlank="1" type="list">
      <formula1>"offen,in Arbeit,erledigt,kein Interesse,Wiedervorlage"</formula1>
    </dataValidation>
  </dataValidations>
  <hyperlinks>
    <hyperlink xmlns:r="http://schemas.openxmlformats.org/officeDocument/2006/relationships" ref="N8" r:id="rId1"/>
    <hyperlink xmlns:r="http://schemas.openxmlformats.org/officeDocument/2006/relationships" ref="N9" r:id="rId2"/>
    <hyperlink xmlns:r="http://schemas.openxmlformats.org/officeDocument/2006/relationships" ref="N10" r:id="rId3"/>
    <hyperlink xmlns:r="http://schemas.openxmlformats.org/officeDocument/2006/relationships" ref="N11" r:id="rId4"/>
    <hyperlink xmlns:r="http://schemas.openxmlformats.org/officeDocument/2006/relationships" ref="N12" r:id="rId5"/>
    <hyperlink xmlns:r="http://schemas.openxmlformats.org/officeDocument/2006/relationships" ref="N13" r:id="rId6"/>
    <hyperlink xmlns:r="http://schemas.openxmlformats.org/officeDocument/2006/relationships" ref="N14" r:id="rId7"/>
    <hyperlink xmlns:r="http://schemas.openxmlformats.org/officeDocument/2006/relationships" ref="N15" r:id="rId8"/>
    <hyperlink xmlns:r="http://schemas.openxmlformats.org/officeDocument/2006/relationships" ref="N16" r:id="rId9"/>
    <hyperlink xmlns:r="http://schemas.openxmlformats.org/officeDocument/2006/relationships" ref="N17" r:id="rId10"/>
    <hyperlink xmlns:r="http://schemas.openxmlformats.org/officeDocument/2006/relationships" ref="N18" r:id="rId11"/>
    <hyperlink xmlns:r="http://schemas.openxmlformats.org/officeDocument/2006/relationships" ref="N19" r:id="rId12"/>
    <hyperlink xmlns:r="http://schemas.openxmlformats.org/officeDocument/2006/relationships" ref="N20" r:id="rId13"/>
    <hyperlink xmlns:r="http://schemas.openxmlformats.org/officeDocument/2006/relationships" ref="N21" r:id="rId14"/>
    <hyperlink xmlns:r="http://schemas.openxmlformats.org/officeDocument/2006/relationships" ref="N22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4" t="inlineStr">
        <is>
          <t>Die zwei Objekte des Kunden (Referenz)</t>
        </is>
      </c>
    </row>
    <row r="2">
      <c r="A2" s="2" t="inlineStr">
        <is>
          <t>Quelle: ImmoScout24-Exposés, vom Kunden als Screenshot geliefert. Beide über Savills, provisionsfrei.</t>
        </is>
      </c>
    </row>
    <row r="4">
      <c r="A4" s="25" t="inlineStr"/>
      <c r="B4" s="25" t="inlineStr">
        <is>
          <t>Objekt 1</t>
        </is>
      </c>
      <c r="C4" s="25" t="inlineStr">
        <is>
          <t>Objekt 2</t>
        </is>
      </c>
    </row>
    <row r="5">
      <c r="A5" s="26" t="inlineStr">
        <is>
          <t>Titel</t>
        </is>
      </c>
      <c r="B5" s="27" t="inlineStr">
        <is>
          <t>Logistikhalle | teilbar</t>
        </is>
      </c>
      <c r="C5" s="27" t="inlineStr">
        <is>
          <t>Logistikhalle | Rampen | 24/7-Nutzung</t>
        </is>
      </c>
    </row>
    <row r="6">
      <c r="A6" s="26" t="inlineStr">
        <is>
          <t>Fläche m²</t>
        </is>
      </c>
      <c r="B6" s="28" t="n">
        <v>7650</v>
      </c>
      <c r="C6" s="28" t="n">
        <v>5500</v>
      </c>
    </row>
    <row r="7">
      <c r="A7" s="26" t="inlineStr">
        <is>
          <t>teilbar ab m²</t>
        </is>
      </c>
      <c r="B7" s="28" t="n">
        <v>2550</v>
      </c>
      <c r="C7" s="28" t="n">
        <v>2500</v>
      </c>
    </row>
    <row r="8">
      <c r="A8" s="26" t="inlineStr">
        <is>
          <t>Miete</t>
        </is>
      </c>
      <c r="B8" s="27" t="inlineStr">
        <is>
          <t>auf Anfrage</t>
        </is>
      </c>
      <c r="C8" s="27" t="inlineStr">
        <is>
          <t>7,00 €/m²/Monat</t>
        </is>
      </c>
    </row>
    <row r="9">
      <c r="A9" s="26" t="inlineStr">
        <is>
          <t>Lage</t>
        </is>
      </c>
      <c r="B9" s="27" t="inlineStr">
        <is>
          <t>Dümpten, 45475 Mülheim a.d.R.</t>
        </is>
      </c>
      <c r="C9" s="27" t="inlineStr">
        <is>
          <t>Dümpten, 45476 Mülheim a.d.R.</t>
        </is>
      </c>
    </row>
    <row r="10">
      <c r="A10" s="26" t="inlineStr">
        <is>
          <t>Hauptkriterien</t>
        </is>
      </c>
      <c r="B10" s="27" t="inlineStr">
        <is>
          <t>Rampe, provisionsfrei</t>
        </is>
      </c>
      <c r="C10" s="27" t="inlineStr">
        <is>
          <t>Rampe, provisionsfrei</t>
        </is>
      </c>
    </row>
    <row r="11">
      <c r="A11" s="26" t="inlineStr">
        <is>
          <t>Anbieter</t>
        </is>
      </c>
      <c r="B11" s="27" t="inlineStr">
        <is>
          <t>Savills</t>
        </is>
      </c>
      <c r="C11" s="27" t="inlineStr">
        <is>
          <t>Savills</t>
        </is>
      </c>
    </row>
    <row r="12">
      <c r="A12" s="26" t="inlineStr">
        <is>
          <t>IS24-Exposé-Nr.</t>
        </is>
      </c>
      <c r="B12" s="27" t="inlineStr">
        <is>
          <t>164403448</t>
        </is>
      </c>
      <c r="C12" s="27" t="inlineStr">
        <is>
          <t>164434609</t>
        </is>
      </c>
    </row>
    <row r="14">
      <c r="A14" s="29" t="inlineStr">
        <is>
          <t>Zielkorridor für Alternativen (aus den Flächen oben berechnet):</t>
        </is>
      </c>
    </row>
    <row r="15">
      <c r="A15" t="inlineStr">
        <is>
          <t>untere Grenze (−20 %)</t>
        </is>
      </c>
      <c r="B15" s="30">
        <f>ROUND(MIN(B6:C6)*0.8,0)</f>
        <v/>
      </c>
    </row>
    <row r="16">
      <c r="A16" t="inlineStr">
        <is>
          <t>obere Grenze (+20 %)</t>
        </is>
      </c>
      <c r="B16" s="30">
        <f>ROUND(MAX(B6:C6)*1.2,0)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4" t="inlineStr">
        <is>
          <t>Legende, Ausfüllhinweise und Quellen</t>
        </is>
      </c>
    </row>
    <row r="3">
      <c r="A3" s="31" t="inlineStr">
        <is>
          <t>AUSZUFÜLLEN – nur diese drei Spalten im Blatt 'Anrufliste' bearbeiten:</t>
        </is>
      </c>
    </row>
    <row r="4">
      <c r="A4" s="32" t="inlineStr">
        <is>
          <t xml:space="preserve">   Spalte B  'Status'            → Auswahlliste: offen / in Arbeit / erledigt / kein Interesse / Wiedervorlage</t>
        </is>
      </c>
    </row>
    <row r="5">
      <c r="A5" s="32" t="inlineStr">
        <is>
          <t xml:space="preserve">   Spalte C  'Wiedervorlage'     → Datum im Format TT.MM.JJJJ</t>
        </is>
      </c>
    </row>
    <row r="6">
      <c r="A6" s="32" t="inlineStr">
        <is>
          <t xml:space="preserve">   Spalte M  'Ergebnis / Notiz'  → Freitext aus dem Telefonat</t>
        </is>
      </c>
    </row>
    <row r="8">
      <c r="A8" s="31" t="inlineStr">
        <is>
          <t>Beispielzeile – so sieht eine erledigte Position aus:</t>
        </is>
      </c>
    </row>
    <row r="9">
      <c r="A9" s="33" t="inlineStr">
        <is>
          <t>A1</t>
        </is>
      </c>
      <c r="B9" s="33" t="inlineStr">
        <is>
          <t>erledigt</t>
        </is>
      </c>
      <c r="C9" s="33" t="inlineStr">
        <is>
          <t>04.08.2026</t>
        </is>
      </c>
      <c r="D9" s="33" t="inlineStr">
        <is>
          <t>FlexCity / Geneba – Bau 25</t>
        </is>
      </c>
      <c r="E9" s="33" t="inlineStr">
        <is>
          <t>Kranbahnallee 3, 45473 Mülheim</t>
        </is>
      </c>
      <c r="F9" s="34" t="n">
        <v>8841</v>
      </c>
      <c r="G9" s="33" t="inlineStr">
        <is>
          <t>≈7.000 m² frei</t>
        </is>
      </c>
      <c r="H9" s="33" t="inlineStr">
        <is>
          <t>2,6</t>
        </is>
      </c>
      <c r="I9" s="33" t="inlineStr">
        <is>
          <t>yes</t>
        </is>
      </c>
      <c r="J9" s="33" t="inlineStr">
        <is>
          <t>Wilhelm Heusch</t>
        </is>
      </c>
      <c r="K9" s="33" t="inlineStr">
        <is>
          <t>+49 151 544 104 03</t>
        </is>
      </c>
      <c r="L9" s="33" t="inlineStr">
        <is>
          <t>wilhelm.heusch@frasersproperty.com</t>
        </is>
      </c>
      <c r="M9" s="33" t="inlineStr">
        <is>
          <t>Hr. Heusch: 6.900 m² ab 01.10. frei, 8 m Höhe, 10 Docks – Unterlagen kommen per Mail</t>
        </is>
      </c>
    </row>
    <row r="11">
      <c r="A11" s="31" t="inlineStr">
        <is>
          <t>PRIO-STUFEN</t>
        </is>
      </c>
    </row>
    <row r="12">
      <c r="A12" s="32" t="inlineStr">
        <is>
          <t xml:space="preserve">   A1 / A2   aktives Angebot + verifizierter Kontakt → zuerst anrufen        (blau hinterlegt)</t>
        </is>
      </c>
    </row>
    <row r="13">
      <c r="A13" s="32" t="inlineStr">
        <is>
          <t xml:space="preserve">   B         Eigennutzer, kein Mietangebot → Eigentümeransprache            (gelb hinterlegt)</t>
        </is>
      </c>
    </row>
    <row r="14">
      <c r="A14" s="32" t="inlineStr">
        <is>
          <t xml:space="preserve">   C         Größe und Lage passen, Eigentümer unbekannt → recherchieren     (grau hinterlegt)</t>
        </is>
      </c>
    </row>
    <row r="16">
      <c r="A16" s="31" t="inlineStr">
        <is>
          <t>WICHTIGE EINSCHRÄNKUNGEN</t>
        </is>
      </c>
    </row>
    <row r="17">
      <c r="A17" s="32" t="inlineStr">
        <is>
          <t xml:space="preserve">   • OSM zeigt bebaute Hallen, KEINE Verfügbarkeiten. Nur Prio A1/A2 sind als aktives Angebot belegt.</t>
        </is>
      </c>
    </row>
    <row r="18">
      <c r="A18" s="32" t="inlineStr">
        <is>
          <t xml:space="preserve">   • 'OSM-Fläche m²' ist die Gebäude-Grundfläche (Footprint), NICHT die vermietbare Fläche.</t>
        </is>
      </c>
    </row>
    <row r="19">
      <c r="A19" s="32" t="inlineStr">
        <is>
          <t xml:space="preserve">   • Kein Kandidat hat exakt PLZ 45475: der Kern von Dümpten ist Wohngebiet, die Hallen liegen an den</t>
        </is>
      </c>
    </row>
    <row r="20">
      <c r="A20" s="32" t="inlineStr">
        <is>
          <t xml:space="preserve">     Rändern Richtung Mellinghofen und Styrum (Entfernung 1,9–3,3 km).</t>
        </is>
      </c>
    </row>
    <row r="21">
      <c r="A21" s="32" t="inlineStr">
        <is>
          <t xml:space="preserve">   • FlexCity und 'Geneba Industriepark' sind DERSELBE Standort – Frasers hat Geneba 2017/18 übernommen.</t>
        </is>
      </c>
    </row>
    <row r="22">
      <c r="A22" s="32" t="inlineStr">
        <is>
          <t xml:space="preserve">     Ein Anruf bei Frasers deckt alle fünf A1-Zeilen ab.</t>
        </is>
      </c>
    </row>
    <row r="23">
      <c r="A23" s="32" t="inlineStr">
        <is>
          <t xml:space="preserve">   • FlexCity-Restfläche (≈7.000 m²): Objektseite nennt 23.838 m² Gesamtscheme, davon 15.700 m² an</t>
        </is>
      </c>
    </row>
    <row r="24">
      <c r="A24" s="32" t="inlineStr">
        <is>
          <t xml:space="preserve">     JW Fulfilment vermietet. Freie Restfläche im Telefonat verifizieren.</t>
        </is>
      </c>
    </row>
    <row r="26">
      <c r="A26" s="31" t="inlineStr">
        <is>
          <t>QUELLEN</t>
        </is>
      </c>
    </row>
    <row r="27">
      <c r="A27" s="32" t="inlineStr">
        <is>
          <t xml:space="preserve">   Frasers Property Industrial – FlexCity Mülheim (Objektdaten, Kontakt Wilhelm Heusch)</t>
        </is>
      </c>
    </row>
    <row r="28">
      <c r="A28" s="32" t="inlineStr">
        <is>
          <t xml:space="preserve">   Frasers Property – Meldung Mietvertrag JW Fulfilment 15.700 m², Fertigstellung Mai 2026</t>
        </is>
      </c>
    </row>
    <row r="29">
      <c r="A29" s="32" t="inlineStr">
        <is>
          <t xml:space="preserve">   Goodman – Mülheim Logistics Centre, Unit 2 = 5.863 m² (Seite blockte automatisierten Zugriff, HTTP 403)</t>
        </is>
      </c>
    </row>
    <row r="30">
      <c r="A30" s="32" t="inlineStr">
        <is>
          <t xml:space="preserve">   wer-zu-wem.de / Das Örtliche – Firmen Pilgerstraße (Trilux Retail/Ansorg, Schmalz + Schön Logistics)</t>
        </is>
      </c>
    </row>
    <row r="31">
      <c r="A31" s="32" t="inlineStr">
        <is>
          <t xml:space="preserve">   OpenStreetMap / Overpass API – Gebäude-Grundflächen (© OpenStreetMap-Mitwirkende, ODbL)</t>
        </is>
      </c>
    </row>
    <row r="32">
      <c r="A32" s="32" t="inlineStr">
        <is>
          <t xml:space="preserve">   ImmoScout24-Exposés 164403448 / 164434609 – vom Kunden als Screenshot geliefert</t>
        </is>
      </c>
    </row>
    <row r="34">
      <c r="A34" s="32" t="inlineStr">
        <is>
          <t>Hinweis: Die IS24-Seiten waren automatisiert nicht abrufbar (HTTP 401). Alle Angaben zu den beiden</t>
        </is>
      </c>
    </row>
    <row r="35">
      <c r="A35" s="32" t="inlineStr">
        <is>
          <t>Kundenobjekten stammen ausschließlich aus den übermittelten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2026-07-28T18:14:36Z</dcterms:created>
  <dcterms:modified xsi:type="dcterms:W3CDTF">2026-07-28T18:14:36Z</dcterms:modified>
</cp:coreProperties>
</file>